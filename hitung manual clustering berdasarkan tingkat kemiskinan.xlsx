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s\Documents\skripsi\joki revisi\selesai\"/>
    </mc:Choice>
  </mc:AlternateContent>
  <xr:revisionPtr revIDLastSave="0" documentId="8_{814B8F70-C0FC-4E62-A986-A971EF6FE8BA}" xr6:coauthVersionLast="47" xr6:coauthVersionMax="47" xr10:uidLastSave="{00000000-0000-0000-0000-000000000000}"/>
  <bookViews>
    <workbookView xWindow="-110" yWindow="-110" windowWidth="19420" windowHeight="10300" activeTab="1" xr2:uid="{4896032E-2745-4D74-BA3A-8DB7528F6E0E}"/>
  </bookViews>
  <sheets>
    <sheet name="data awal" sheetId="1" r:id="rId1"/>
    <sheet name="K-means" sheetId="2" r:id="rId2"/>
    <sheet name="K-Medoi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2" l="1" a="1"/>
  <c r="S4" i="2" a="1"/>
  <c r="S5" i="2" a="1"/>
  <c r="S6" i="2" a="1"/>
  <c r="S2" i="2" a="1"/>
  <c r="R3" i="2"/>
  <c r="R4" i="2"/>
  <c r="R5" i="2"/>
  <c r="R6" i="2"/>
  <c r="Q3" i="2"/>
  <c r="Q4" i="2"/>
  <c r="Q5" i="2"/>
  <c r="Q6" i="2"/>
  <c r="P3" i="2"/>
  <c r="P4" i="2"/>
  <c r="P5" i="2"/>
  <c r="P6" i="2"/>
  <c r="R2" i="2"/>
  <c r="Q2" i="2"/>
  <c r="P2" i="2"/>
  <c r="O3" i="2" a="1"/>
  <c r="O4" i="2" a="1"/>
  <c r="O5" i="2" a="1"/>
  <c r="O6" i="2" a="1"/>
  <c r="O2" i="2" a="1"/>
  <c r="N3" i="2"/>
  <c r="N4" i="2"/>
  <c r="N5" i="2"/>
  <c r="N6" i="2"/>
  <c r="M3" i="2"/>
  <c r="M4" i="2"/>
  <c r="M5" i="2"/>
  <c r="M6" i="2"/>
  <c r="L3" i="2"/>
  <c r="L4" i="2"/>
  <c r="L5" i="2"/>
  <c r="L6" i="2"/>
  <c r="N2" i="2"/>
  <c r="M2" i="2"/>
  <c r="L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<sst xmlns="http://schemas.openxmlformats.org/spreadsheetml/2006/main" count="55" uniqueCount="25">
  <si>
    <t>Data</t>
  </si>
  <si>
    <t>PKJ</t>
  </si>
  <si>
    <t>KPR</t>
  </si>
  <si>
    <t>ATP</t>
  </si>
  <si>
    <t>DND</t>
  </si>
  <si>
    <t>LNT</t>
  </si>
  <si>
    <t>DYL</t>
  </si>
  <si>
    <t>BBK</t>
  </si>
  <si>
    <t>AIR</t>
  </si>
  <si>
    <t>BAB</t>
  </si>
  <si>
    <t>D1</t>
  </si>
  <si>
    <t>D2</t>
  </si>
  <si>
    <t>D3</t>
  </si>
  <si>
    <t>D4</t>
  </si>
  <si>
    <t>D5</t>
  </si>
  <si>
    <t>C1 (Sangat Miskin)</t>
  </si>
  <si>
    <t>C2 (Rentan Miskin)</t>
  </si>
  <si>
    <t>C3 (Miskin)</t>
  </si>
  <si>
    <t>Centroid K-Means</t>
  </si>
  <si>
    <t>M1 / D147 (Sangat Miskin)</t>
  </si>
  <si>
    <t>M2 / D25 (Rentan Miskin)</t>
  </si>
  <si>
    <t>M3 / D407 (Miskin)</t>
  </si>
  <si>
    <t>Medoids K-Medoids</t>
  </si>
  <si>
    <t>Hitung Jarak Euclidean K-Means</t>
  </si>
  <si>
    <t>Hitung Jarak Euclidean K-Medoids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</si>
</sst>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name val="Georgia"/>
      <family val="1"/>
    </font>
    <font>
      <sz val="7"/>
      <name val="Georgia"/>
      <family val="1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vertical="top" wrapText="1" indent="1"/>
    </xf>
    <xf numFmtId="0" fontId="3" fillId="2" borderId="0" xfId="0" applyFont="1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6448-DB65-478D-94E4-FBC8C750004E}">
  <dimension ref="A1:K7"/>
  <sheetViews>
    <sheetView workbookViewId="0">
      <selection sqref="A1:J6"/>
    </sheetView>
  </sheetViews>
  <sheetFormatPr defaultRowHeight="14.5" x14ac:dyDescent="0.35"/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/>
    </row>
    <row r="2" spans="1:11" x14ac:dyDescent="0.35">
      <c r="A2" s="3" t="s">
        <v>10</v>
      </c>
      <c r="B2" s="3">
        <v>0</v>
      </c>
      <c r="C2" s="3">
        <v>1</v>
      </c>
      <c r="D2" s="3">
        <v>3</v>
      </c>
      <c r="E2" s="3">
        <v>1</v>
      </c>
      <c r="F2" s="3">
        <v>2</v>
      </c>
      <c r="G2" s="3">
        <v>1</v>
      </c>
      <c r="H2" s="3">
        <v>2</v>
      </c>
      <c r="I2" s="3">
        <v>4</v>
      </c>
      <c r="J2" s="3">
        <v>2</v>
      </c>
    </row>
    <row r="3" spans="1:11" x14ac:dyDescent="0.35">
      <c r="A3" s="3" t="s">
        <v>11</v>
      </c>
      <c r="B3" s="3">
        <v>3</v>
      </c>
      <c r="C3" s="3">
        <v>3</v>
      </c>
      <c r="D3" s="3">
        <v>3</v>
      </c>
      <c r="E3" s="3">
        <v>3</v>
      </c>
      <c r="F3" s="3">
        <v>2</v>
      </c>
      <c r="G3" s="3">
        <v>1</v>
      </c>
      <c r="H3" s="3">
        <v>0</v>
      </c>
      <c r="I3" s="3">
        <v>4</v>
      </c>
      <c r="J3" s="3">
        <v>2</v>
      </c>
    </row>
    <row r="4" spans="1:11" x14ac:dyDescent="0.35">
      <c r="A4" s="3" t="s">
        <v>12</v>
      </c>
      <c r="B4" s="3">
        <v>0</v>
      </c>
      <c r="C4" s="3">
        <v>3</v>
      </c>
      <c r="D4" s="3">
        <v>3</v>
      </c>
      <c r="E4" s="3">
        <v>3</v>
      </c>
      <c r="F4" s="3">
        <v>4</v>
      </c>
      <c r="G4" s="3">
        <v>1</v>
      </c>
      <c r="H4" s="3">
        <v>0</v>
      </c>
      <c r="I4" s="3">
        <v>4</v>
      </c>
      <c r="J4" s="3">
        <v>2</v>
      </c>
    </row>
    <row r="5" spans="1:11" x14ac:dyDescent="0.35">
      <c r="A5" s="3" t="s">
        <v>13</v>
      </c>
      <c r="B5" s="3">
        <v>3</v>
      </c>
      <c r="C5" s="3">
        <v>3</v>
      </c>
      <c r="D5" s="3">
        <v>3</v>
      </c>
      <c r="E5" s="3">
        <v>2</v>
      </c>
      <c r="F5" s="3">
        <v>4</v>
      </c>
      <c r="G5" s="3">
        <v>1</v>
      </c>
      <c r="H5" s="3">
        <v>2</v>
      </c>
      <c r="I5" s="3">
        <v>4</v>
      </c>
      <c r="J5" s="3">
        <v>3</v>
      </c>
    </row>
    <row r="6" spans="1:11" x14ac:dyDescent="0.35">
      <c r="A6" s="3" t="s">
        <v>14</v>
      </c>
      <c r="B6" s="3">
        <v>2</v>
      </c>
      <c r="C6" s="3">
        <v>3</v>
      </c>
      <c r="D6" s="3">
        <v>3</v>
      </c>
      <c r="E6" s="3">
        <v>3</v>
      </c>
      <c r="F6" s="3">
        <v>4</v>
      </c>
      <c r="G6" s="3">
        <v>1</v>
      </c>
      <c r="H6" s="3">
        <v>2</v>
      </c>
      <c r="I6" s="3">
        <v>4</v>
      </c>
      <c r="J6" s="3">
        <v>4</v>
      </c>
    </row>
    <row r="7" spans="1:11" x14ac:dyDescent="0.35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2A59-20C2-4D77-9B6C-017039119206}">
  <dimension ref="A1:S16"/>
  <sheetViews>
    <sheetView tabSelected="1" topLeftCell="F1" zoomScale="129" workbookViewId="0">
      <selection activeCell="L11" sqref="L11"/>
    </sheetView>
  </sheetViews>
  <sheetFormatPr defaultRowHeight="14.5" x14ac:dyDescent="0.35"/>
  <cols>
    <col min="1" max="1" width="22" bestFit="1" customWidth="1"/>
    <col min="15" max="15" width="16.08984375" bestFit="1" customWidth="1"/>
    <col min="19" max="19" width="16.08984375" bestFit="1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9" t="s">
        <v>23</v>
      </c>
      <c r="M1" s="10"/>
      <c r="N1" s="10"/>
      <c r="O1" s="10"/>
      <c r="P1" s="11" t="s">
        <v>24</v>
      </c>
      <c r="Q1" s="11"/>
      <c r="R1" s="11"/>
      <c r="S1" s="11"/>
    </row>
    <row r="2" spans="1:19" x14ac:dyDescent="0.35">
      <c r="A2" s="3" t="s">
        <v>10</v>
      </c>
      <c r="B2" s="3">
        <v>0</v>
      </c>
      <c r="C2" s="3">
        <v>1</v>
      </c>
      <c r="D2" s="3">
        <v>3</v>
      </c>
      <c r="E2" s="3">
        <v>1</v>
      </c>
      <c r="F2" s="3">
        <v>2</v>
      </c>
      <c r="G2" s="3">
        <v>1</v>
      </c>
      <c r="H2" s="3">
        <v>2</v>
      </c>
      <c r="I2" s="3">
        <v>4</v>
      </c>
      <c r="J2" s="3">
        <v>2</v>
      </c>
      <c r="L2" s="7">
        <f>SQRT(SUMXMY2(B2:J2, $B$9:$J$9))</f>
        <v>3.272437623546093</v>
      </c>
      <c r="M2" s="7">
        <f>SQRT(SUMXMY2(B2:J2, $B$10:$J$10))</f>
        <v>4.2405408853116837</v>
      </c>
      <c r="N2" s="7">
        <f>SQRT(SUMXMY2(B2:J2, $B$11:$J$11))</f>
        <v>3.6888030579037419</v>
      </c>
      <c r="O2" s="7" t="str" cm="1">
        <f t="array" ref="O2">INDEX({"C1 (Sangat Miskin)","C2 (Rentan Miskin)","C3 (Miskin)"}, MATCH(MIN(L2:N2), L2:N2, 0))</f>
        <v>C1 (Sangat Miskin)</v>
      </c>
      <c r="P2" s="7">
        <f>SQRT(SUMXMY2(B2:J2, $B$14:$J$14))</f>
        <v>4.6904157598234297</v>
      </c>
      <c r="Q2" s="7">
        <f>SQRT(SUMXMY2(B2:J2, $B$15:$J$15))</f>
        <v>4.358898943540674</v>
      </c>
      <c r="R2" s="7">
        <f>SQRT(SUMXMY2(B2:J2, $B$16:$J$16))</f>
        <v>3.872983346207417</v>
      </c>
      <c r="S2" s="7" t="str" cm="1">
        <f t="array" ref="S2">INDEX({"C1 (Sangat Miskin)","C2 (Rentan Miskin)","C3 (Miskin)"}, MATCH(MIN(P2:R2), P2:R2, 0))</f>
        <v>C3 (Miskin)</v>
      </c>
    </row>
    <row r="3" spans="1:19" x14ac:dyDescent="0.35">
      <c r="A3" s="3" t="s">
        <v>11</v>
      </c>
      <c r="B3" s="3">
        <v>3</v>
      </c>
      <c r="C3" s="3">
        <v>3</v>
      </c>
      <c r="D3" s="3">
        <v>3</v>
      </c>
      <c r="E3" s="3">
        <v>3</v>
      </c>
      <c r="F3" s="3">
        <v>2</v>
      </c>
      <c r="G3" s="3">
        <v>1</v>
      </c>
      <c r="H3" s="3">
        <v>0</v>
      </c>
      <c r="I3" s="3">
        <v>4</v>
      </c>
      <c r="J3" s="3">
        <v>2</v>
      </c>
      <c r="L3" s="7">
        <f t="shared" ref="L3:L6" si="0">SQRT(SUMXMY2(B3:J3, $B$9:$J$9))</f>
        <v>2.2576199857371924</v>
      </c>
      <c r="M3" s="7">
        <f t="shared" ref="M3:M6" si="1">SQRT(SUMXMY2(B3:J3, $B$10:$J$10))</f>
        <v>3.4403759968933625</v>
      </c>
      <c r="N3" s="7">
        <f t="shared" ref="N3:N6" si="2">SQRT(SUMXMY2(B3:J3, $B$11:$J$11))</f>
        <v>2.6056223824645039</v>
      </c>
      <c r="O3" s="7" t="str" cm="1">
        <f t="array" ref="O3">INDEX({"C1 (Sangat Miskin)","C2 (Rentan Miskin)","C3 (Miskin)"}, MATCH(MIN(L3:N3), L3:N3, 0))</f>
        <v>C1 (Sangat Miskin)</v>
      </c>
      <c r="P3" s="7">
        <f t="shared" ref="P3:P6" si="3">SQRT(SUMXMY2(B3:J3, $B$14:$J$14))</f>
        <v>2.2360679774997898</v>
      </c>
      <c r="Q3" s="7">
        <f t="shared" ref="Q3:Q6" si="4">SQRT(SUMXMY2(B3:J3, $B$15:$J$15))</f>
        <v>3.1622776601683795</v>
      </c>
      <c r="R3" s="7">
        <f t="shared" ref="R3:R6" si="5">SQRT(SUMXMY2(B3:J3, $B$16:$J$16))</f>
        <v>2.4494897427831779</v>
      </c>
      <c r="S3" s="7" t="str" cm="1">
        <f t="array" ref="S3">INDEX({"C1 (Sangat Miskin)","C2 (Rentan Miskin)","C3 (Miskin)"}, MATCH(MIN(P3:R3), P3:R3, 0))</f>
        <v>C1 (Sangat Miskin)</v>
      </c>
    </row>
    <row r="4" spans="1:19" x14ac:dyDescent="0.35">
      <c r="A4" s="3" t="s">
        <v>12</v>
      </c>
      <c r="B4" s="3">
        <v>0</v>
      </c>
      <c r="C4" s="3">
        <v>3</v>
      </c>
      <c r="D4" s="3">
        <v>3</v>
      </c>
      <c r="E4" s="3">
        <v>3</v>
      </c>
      <c r="F4" s="3">
        <v>4</v>
      </c>
      <c r="G4" s="3">
        <v>1</v>
      </c>
      <c r="H4" s="3">
        <v>0</v>
      </c>
      <c r="I4" s="3">
        <v>4</v>
      </c>
      <c r="J4" s="3">
        <v>2</v>
      </c>
      <c r="L4" s="7">
        <f t="shared" si="0"/>
        <v>3.389520320045301</v>
      </c>
      <c r="M4" s="7">
        <f t="shared" si="1"/>
        <v>3.8207573856501273</v>
      </c>
      <c r="N4" s="7">
        <f t="shared" si="2"/>
        <v>4.1544275177213041</v>
      </c>
      <c r="O4" s="7" t="str" cm="1">
        <f t="array" ref="O4">INDEX({"C1 (Sangat Miskin)","C2 (Rentan Miskin)","C3 (Miskin)"}, MATCH(MIN(L4:N4), L4:N4, 0))</f>
        <v>C1 (Sangat Miskin)</v>
      </c>
      <c r="P4" s="7">
        <f t="shared" si="3"/>
        <v>4.2426406871192848</v>
      </c>
      <c r="Q4" s="7">
        <f t="shared" si="4"/>
        <v>4.358898943540674</v>
      </c>
      <c r="R4" s="7">
        <f t="shared" si="5"/>
        <v>4.358898943540674</v>
      </c>
      <c r="S4" s="7" t="str" cm="1">
        <f t="array" ref="S4">INDEX({"C1 (Sangat Miskin)","C2 (Rentan Miskin)","C3 (Miskin)"}, MATCH(MIN(P4:R4), P4:R4, 0))</f>
        <v>C1 (Sangat Miskin)</v>
      </c>
    </row>
    <row r="5" spans="1:19" x14ac:dyDescent="0.35">
      <c r="A5" s="3" t="s">
        <v>13</v>
      </c>
      <c r="B5" s="3">
        <v>3</v>
      </c>
      <c r="C5" s="3">
        <v>3</v>
      </c>
      <c r="D5" s="3">
        <v>3</v>
      </c>
      <c r="E5" s="3">
        <v>2</v>
      </c>
      <c r="F5" s="3">
        <v>4</v>
      </c>
      <c r="G5" s="3">
        <v>1</v>
      </c>
      <c r="H5" s="3">
        <v>2</v>
      </c>
      <c r="I5" s="3">
        <v>4</v>
      </c>
      <c r="J5" s="3">
        <v>3</v>
      </c>
      <c r="L5" s="7">
        <f t="shared" si="0"/>
        <v>2.5746549283350575</v>
      </c>
      <c r="M5" s="7">
        <f t="shared" si="1"/>
        <v>1.3077411823445797</v>
      </c>
      <c r="N5" s="7">
        <f t="shared" si="2"/>
        <v>2.4922415613258684</v>
      </c>
      <c r="O5" s="7" t="str" cm="1">
        <f t="array" ref="O5">INDEX({"C1 (Sangat Miskin)","C2 (Rentan Miskin)","C3 (Miskin)"}, MATCH(MIN(L5:N5), L5:N5, 0))</f>
        <v>C2 (Rentan Miskin)</v>
      </c>
      <c r="P5" s="7">
        <f t="shared" si="3"/>
        <v>3</v>
      </c>
      <c r="Q5" s="7">
        <f t="shared" si="4"/>
        <v>1.4142135623730951</v>
      </c>
      <c r="R5" s="7">
        <f t="shared" si="5"/>
        <v>2</v>
      </c>
      <c r="S5" s="7" t="str" cm="1">
        <f t="array" ref="S5">INDEX({"C1 (Sangat Miskin)","C2 (Rentan Miskin)","C3 (Miskin)"}, MATCH(MIN(P5:R5), P5:R5, 0))</f>
        <v>C2 (Rentan Miskin)</v>
      </c>
    </row>
    <row r="6" spans="1:19" x14ac:dyDescent="0.35">
      <c r="A6" s="3" t="s">
        <v>14</v>
      </c>
      <c r="B6" s="3">
        <v>2</v>
      </c>
      <c r="C6" s="3">
        <v>3</v>
      </c>
      <c r="D6" s="3">
        <v>3</v>
      </c>
      <c r="E6" s="3">
        <v>3</v>
      </c>
      <c r="F6" s="3">
        <v>4</v>
      </c>
      <c r="G6" s="3">
        <v>1</v>
      </c>
      <c r="H6" s="3">
        <v>2</v>
      </c>
      <c r="I6" s="3">
        <v>4</v>
      </c>
      <c r="J6" s="3">
        <v>4</v>
      </c>
      <c r="L6" s="7">
        <f t="shared" si="0"/>
        <v>3.5118154849023604</v>
      </c>
      <c r="M6" s="7">
        <f t="shared" si="1"/>
        <v>1.4374237371074681</v>
      </c>
      <c r="N6" s="7">
        <f t="shared" si="2"/>
        <v>2.5532857262750679</v>
      </c>
      <c r="O6" s="7" t="str" cm="1">
        <f t="array" ref="O6">INDEX({"C1 (Sangat Miskin)","C2 (Rentan Miskin)","C3 (Miskin)"}, MATCH(MIN(L6:N6), L6:N6, 0))</f>
        <v>C2 (Rentan Miskin)</v>
      </c>
      <c r="P6" s="7">
        <f t="shared" si="3"/>
        <v>3.1622776601683795</v>
      </c>
      <c r="Q6" s="7">
        <f t="shared" si="4"/>
        <v>1.7320508075688772</v>
      </c>
      <c r="R6" s="7">
        <f t="shared" si="5"/>
        <v>2.6457513110645907</v>
      </c>
      <c r="S6" s="7" t="str" cm="1">
        <f t="array" ref="S6">INDEX({"C1 (Sangat Miskin)","C2 (Rentan Miskin)","C3 (Miskin)"}, MATCH(MIN(P6:R6), P6:R6, 0))</f>
        <v>C2 (Rentan Miskin)</v>
      </c>
    </row>
    <row r="8" spans="1:19" x14ac:dyDescent="0.35">
      <c r="A8" s="8" t="s">
        <v>18</v>
      </c>
      <c r="B8" s="8"/>
      <c r="C8" s="8"/>
      <c r="D8" s="8"/>
      <c r="E8" s="8"/>
      <c r="F8" s="8"/>
      <c r="G8" s="8"/>
      <c r="H8" s="8"/>
      <c r="I8" s="8"/>
      <c r="J8" s="8"/>
    </row>
    <row r="9" spans="1:19" x14ac:dyDescent="0.35">
      <c r="A9" s="3" t="s">
        <v>15</v>
      </c>
      <c r="B9" s="3">
        <v>2.4300000000000002</v>
      </c>
      <c r="C9" s="3">
        <v>2.2890000000000001</v>
      </c>
      <c r="D9" s="3">
        <v>2.9689999999999999</v>
      </c>
      <c r="E9" s="3">
        <v>1.9219999999999999</v>
      </c>
      <c r="F9" s="3">
        <v>2.7970000000000002</v>
      </c>
      <c r="G9" s="3">
        <v>0.74199999999999999</v>
      </c>
      <c r="H9" s="3">
        <v>1.2030000000000001</v>
      </c>
      <c r="I9" s="3">
        <v>3.508</v>
      </c>
      <c r="J9" s="3">
        <v>1.1559999999999999</v>
      </c>
      <c r="K9" s="6"/>
    </row>
    <row r="10" spans="1:19" x14ac:dyDescent="0.35">
      <c r="A10" s="3" t="s">
        <v>16</v>
      </c>
      <c r="B10" s="3">
        <v>2.6389999999999998</v>
      </c>
      <c r="C10" s="3">
        <v>2.3610000000000002</v>
      </c>
      <c r="D10" s="3">
        <v>2.9430000000000001</v>
      </c>
      <c r="E10" s="3">
        <v>1.996</v>
      </c>
      <c r="F10" s="3">
        <v>4.0179999999999998</v>
      </c>
      <c r="G10" s="3">
        <v>0.92100000000000004</v>
      </c>
      <c r="H10" s="3">
        <v>1.5289999999999999</v>
      </c>
      <c r="I10" s="3">
        <v>3.907</v>
      </c>
      <c r="J10" s="3">
        <v>3.9649999999999999</v>
      </c>
    </row>
    <row r="11" spans="1:19" x14ac:dyDescent="0.35">
      <c r="A11" s="3" t="s">
        <v>17</v>
      </c>
      <c r="B11" s="3">
        <v>2.5369999999999999</v>
      </c>
      <c r="C11" s="3">
        <v>2.4140000000000001</v>
      </c>
      <c r="D11" s="3">
        <v>2.9260000000000002</v>
      </c>
      <c r="E11" s="3">
        <v>1.994</v>
      </c>
      <c r="F11" s="3">
        <v>1.9379999999999999</v>
      </c>
      <c r="G11" s="3">
        <v>0.79600000000000004</v>
      </c>
      <c r="H11" s="3">
        <v>1.2589999999999999</v>
      </c>
      <c r="I11" s="3">
        <v>3.8769999999999998</v>
      </c>
      <c r="J11" s="3">
        <v>3.8889999999999998</v>
      </c>
    </row>
    <row r="12" spans="1:19" x14ac:dyDescent="0.35">
      <c r="A12" s="5"/>
    </row>
    <row r="13" spans="1:19" x14ac:dyDescent="0.35">
      <c r="A13" s="12" t="s">
        <v>22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9" x14ac:dyDescent="0.35">
      <c r="A14" s="3" t="s">
        <v>19</v>
      </c>
      <c r="B14" s="3">
        <v>3</v>
      </c>
      <c r="C14" s="3">
        <v>3</v>
      </c>
      <c r="D14" s="3">
        <v>3</v>
      </c>
      <c r="E14" s="3">
        <v>2</v>
      </c>
      <c r="F14" s="3">
        <v>2</v>
      </c>
      <c r="G14" s="3">
        <v>1</v>
      </c>
      <c r="H14" s="3">
        <v>0</v>
      </c>
      <c r="I14" s="3">
        <v>4</v>
      </c>
      <c r="J14" s="3">
        <v>4</v>
      </c>
    </row>
    <row r="15" spans="1:19" x14ac:dyDescent="0.35">
      <c r="A15" s="3" t="s">
        <v>20</v>
      </c>
      <c r="B15" s="3">
        <v>3</v>
      </c>
      <c r="C15" s="3">
        <v>3</v>
      </c>
      <c r="D15" s="3">
        <v>3</v>
      </c>
      <c r="E15" s="3">
        <v>2</v>
      </c>
      <c r="F15" s="3">
        <v>3</v>
      </c>
      <c r="G15" s="3">
        <v>1</v>
      </c>
      <c r="H15" s="3">
        <v>2</v>
      </c>
      <c r="I15" s="3">
        <v>4</v>
      </c>
      <c r="J15" s="3">
        <v>4</v>
      </c>
    </row>
    <row r="16" spans="1:19" x14ac:dyDescent="0.35">
      <c r="A16" s="3" t="s">
        <v>21</v>
      </c>
      <c r="B16" s="3">
        <v>3</v>
      </c>
      <c r="C16" s="3">
        <v>3</v>
      </c>
      <c r="D16" s="3">
        <v>3</v>
      </c>
      <c r="E16" s="3">
        <v>2</v>
      </c>
      <c r="F16" s="3">
        <v>2</v>
      </c>
      <c r="G16" s="3">
        <v>1</v>
      </c>
      <c r="H16" s="3">
        <v>2</v>
      </c>
      <c r="I16" s="3">
        <v>4</v>
      </c>
      <c r="J16" s="3">
        <v>3</v>
      </c>
    </row>
  </sheetData>
  <mergeCells count="4">
    <mergeCell ref="A8:J8"/>
    <mergeCell ref="L1:O1"/>
    <mergeCell ref="A13:J13"/>
    <mergeCell ref="P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9C4D-4F71-44C0-85BB-0E264D3D7A01}">
  <dimension ref="A1:J6"/>
  <sheetViews>
    <sheetView workbookViewId="0">
      <selection sqref="A1:J6"/>
    </sheetView>
  </sheetViews>
  <sheetFormatPr defaultRowHeight="14.5" x14ac:dyDescent="0.35"/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3" t="s">
        <v>10</v>
      </c>
      <c r="B2" s="3">
        <v>0</v>
      </c>
      <c r="C2" s="3">
        <v>1</v>
      </c>
      <c r="D2" s="3">
        <v>3</v>
      </c>
      <c r="E2" s="3">
        <v>1</v>
      </c>
      <c r="F2" s="3">
        <v>2</v>
      </c>
      <c r="G2" s="3">
        <v>1</v>
      </c>
      <c r="H2" s="3">
        <v>2</v>
      </c>
      <c r="I2" s="3">
        <v>4</v>
      </c>
      <c r="J2" s="3">
        <v>2</v>
      </c>
    </row>
    <row r="3" spans="1:10" x14ac:dyDescent="0.35">
      <c r="A3" s="3" t="s">
        <v>11</v>
      </c>
      <c r="B3" s="3">
        <v>3</v>
      </c>
      <c r="C3" s="3">
        <v>3</v>
      </c>
      <c r="D3" s="3">
        <v>3</v>
      </c>
      <c r="E3" s="3">
        <v>3</v>
      </c>
      <c r="F3" s="3">
        <v>2</v>
      </c>
      <c r="G3" s="3">
        <v>1</v>
      </c>
      <c r="H3" s="3">
        <v>0</v>
      </c>
      <c r="I3" s="3">
        <v>4</v>
      </c>
      <c r="J3" s="3">
        <v>2</v>
      </c>
    </row>
    <row r="4" spans="1:10" x14ac:dyDescent="0.35">
      <c r="A4" s="3" t="s">
        <v>12</v>
      </c>
      <c r="B4" s="3">
        <v>0</v>
      </c>
      <c r="C4" s="3">
        <v>3</v>
      </c>
      <c r="D4" s="3">
        <v>3</v>
      </c>
      <c r="E4" s="3">
        <v>3</v>
      </c>
      <c r="F4" s="3">
        <v>4</v>
      </c>
      <c r="G4" s="3">
        <v>1</v>
      </c>
      <c r="H4" s="3">
        <v>0</v>
      </c>
      <c r="I4" s="3">
        <v>4</v>
      </c>
      <c r="J4" s="3">
        <v>2</v>
      </c>
    </row>
    <row r="5" spans="1:10" x14ac:dyDescent="0.35">
      <c r="A5" s="3" t="s">
        <v>13</v>
      </c>
      <c r="B5" s="3">
        <v>3</v>
      </c>
      <c r="C5" s="3">
        <v>3</v>
      </c>
      <c r="D5" s="3">
        <v>3</v>
      </c>
      <c r="E5" s="3">
        <v>2</v>
      </c>
      <c r="F5" s="3">
        <v>4</v>
      </c>
      <c r="G5" s="3">
        <v>1</v>
      </c>
      <c r="H5" s="3">
        <v>2</v>
      </c>
      <c r="I5" s="3">
        <v>4</v>
      </c>
      <c r="J5" s="3">
        <v>3</v>
      </c>
    </row>
    <row r="6" spans="1:10" x14ac:dyDescent="0.35">
      <c r="A6" s="3" t="s">
        <v>14</v>
      </c>
      <c r="B6" s="3">
        <v>2</v>
      </c>
      <c r="C6" s="3">
        <v>3</v>
      </c>
      <c r="D6" s="3">
        <v>3</v>
      </c>
      <c r="E6" s="3">
        <v>3</v>
      </c>
      <c r="F6" s="3">
        <v>4</v>
      </c>
      <c r="G6" s="3">
        <v>1</v>
      </c>
      <c r="H6" s="3">
        <v>2</v>
      </c>
      <c r="I6" s="3">
        <v>4</v>
      </c>
      <c r="J6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awal</vt:lpstr>
      <vt:lpstr>K-means</vt:lpstr>
      <vt:lpstr>K-Medoids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Nofal</dc:creator>
  <cp:lastModifiedBy>Fariz Nofal</cp:lastModifiedBy>
  <dcterms:created xsi:type="dcterms:W3CDTF">2026-06-15T18:31:48Z</dcterms:created>
  <dcterms:modified xsi:type="dcterms:W3CDTF">2026-06-15T19:24:01Z</dcterms:modified>
</cp:coreProperties>
</file>